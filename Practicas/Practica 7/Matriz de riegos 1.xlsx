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Ciencias\CalidadSofwtareBSPO\Practicas\Practica 7\"/>
    </mc:Choice>
  </mc:AlternateContent>
  <xr:revisionPtr revIDLastSave="0" documentId="13_ncr:1_{F04B12F6-ABDF-4136-9265-CE23490770D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RESENTACIÓN" sheetId="4" r:id="rId1"/>
    <sheet name="EJERCICIO" sheetId="2" r:id="rId2"/>
    <sheet name="FIN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3" l="1"/>
  <c r="K29" i="3" s="1"/>
  <c r="I28" i="3"/>
  <c r="J28" i="3" s="1"/>
  <c r="K28" i="3" s="1"/>
  <c r="I27" i="3"/>
  <c r="J27" i="3"/>
  <c r="K27" i="3" s="1"/>
  <c r="I26" i="3"/>
  <c r="I25" i="3"/>
  <c r="G16" i="3"/>
  <c r="I16" i="3"/>
  <c r="G17" i="3"/>
  <c r="I17" i="3"/>
  <c r="G18" i="3"/>
  <c r="I18" i="3"/>
  <c r="G19" i="3"/>
  <c r="I19" i="3"/>
  <c r="G20" i="3"/>
  <c r="I20" i="3"/>
  <c r="G21" i="3"/>
  <c r="I21" i="3"/>
  <c r="G22" i="3"/>
  <c r="I22" i="3"/>
  <c r="G23" i="3"/>
  <c r="I23" i="3"/>
  <c r="G24" i="3"/>
  <c r="I24" i="3"/>
  <c r="I15" i="3"/>
  <c r="G15" i="3"/>
  <c r="J25" i="3" l="1"/>
  <c r="K25" i="3" s="1"/>
  <c r="J26" i="3"/>
  <c r="K26" i="3" s="1"/>
  <c r="J17" i="3"/>
  <c r="K17" i="3" s="1"/>
  <c r="J23" i="3"/>
  <c r="K23" i="3" s="1"/>
  <c r="J24" i="3"/>
  <c r="K24" i="3" s="1"/>
  <c r="J22" i="3"/>
  <c r="K22" i="3" s="1"/>
  <c r="J21" i="3"/>
  <c r="K21" i="3" s="1"/>
  <c r="J20" i="3"/>
  <c r="K20" i="3" s="1"/>
  <c r="J19" i="3"/>
  <c r="K19" i="3" s="1"/>
  <c r="J18" i="3"/>
  <c r="K18" i="3" s="1"/>
  <c r="J16" i="3"/>
  <c r="K16" i="3" s="1"/>
  <c r="J15" i="3"/>
  <c r="K15" i="3" s="1"/>
  <c r="I10" i="3"/>
  <c r="H10" i="3"/>
  <c r="G10" i="3"/>
  <c r="F10" i="3"/>
  <c r="E10" i="3"/>
  <c r="I9" i="3"/>
  <c r="H9" i="3"/>
  <c r="G9" i="3"/>
  <c r="F9" i="3"/>
  <c r="E9" i="3"/>
  <c r="I8" i="3"/>
  <c r="H8" i="3"/>
  <c r="G8" i="3"/>
  <c r="F8" i="3"/>
  <c r="E8" i="3"/>
  <c r="I7" i="3"/>
  <c r="H7" i="3"/>
  <c r="G7" i="3"/>
  <c r="F7" i="3"/>
  <c r="E7" i="3"/>
  <c r="I6" i="3"/>
  <c r="H6" i="3"/>
  <c r="G6" i="3"/>
  <c r="F6" i="3"/>
  <c r="E6" i="3"/>
</calcChain>
</file>

<file path=xl/sharedStrings.xml><?xml version="1.0" encoding="utf-8"?>
<sst xmlns="http://schemas.openxmlformats.org/spreadsheetml/2006/main" count="142" uniqueCount="67">
  <si>
    <t>Menor</t>
  </si>
  <si>
    <t>Mayor</t>
  </si>
  <si>
    <t>Consecuencias</t>
  </si>
  <si>
    <t>Riesgo Aceptable</t>
  </si>
  <si>
    <t>Riesgo Tolerable</t>
  </si>
  <si>
    <t>Riesgo Alto</t>
  </si>
  <si>
    <t>Riesgo Extremo</t>
  </si>
  <si>
    <t>Mínima</t>
  </si>
  <si>
    <t>Moderada</t>
  </si>
  <si>
    <t>Máxima</t>
  </si>
  <si>
    <t>Muy alta</t>
  </si>
  <si>
    <t>Alta</t>
  </si>
  <si>
    <t>Baja</t>
  </si>
  <si>
    <t>Muy baja</t>
  </si>
  <si>
    <t>Media</t>
  </si>
  <si>
    <t>Probabilidad</t>
  </si>
  <si>
    <t>NP</t>
  </si>
  <si>
    <t>Consecuencia</t>
  </si>
  <si>
    <t>NC</t>
  </si>
  <si>
    <t>Nivel de Riesgo</t>
  </si>
  <si>
    <t>Peligro</t>
  </si>
  <si>
    <t>NR</t>
  </si>
  <si>
    <t>Suelo resbaladizo</t>
  </si>
  <si>
    <t>Entre</t>
  </si>
  <si>
    <t>a</t>
  </si>
  <si>
    <t>puntos</t>
  </si>
  <si>
    <t>Nivel de riesgo</t>
  </si>
  <si>
    <t>Rango</t>
  </si>
  <si>
    <t>Color</t>
  </si>
  <si>
    <t>M A T R I Z   D E   R I E S G O</t>
  </si>
  <si>
    <t xml:space="preserve">            </t>
  </si>
  <si>
    <r>
      <t xml:space="preserve">Comparto esta plantilla de Excel de forma </t>
    </r>
    <r>
      <rPr>
        <b/>
        <sz val="12"/>
        <color theme="1"/>
        <rFont val="Calibri"/>
        <family val="2"/>
        <scheme val="minor"/>
      </rPr>
      <t xml:space="preserve">gratuita </t>
    </r>
    <r>
      <rPr>
        <sz val="12"/>
        <color theme="1"/>
        <rFont val="Calibri"/>
        <family val="2"/>
        <scheme val="minor"/>
      </rPr>
      <t>que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podrás utilizarla según tus preferencias, ampliando tus conocimientos sobre empresas, negocios y emprendimiento</t>
    </r>
  </si>
  <si>
    <t>ID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</si>
  <si>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</si>
  <si>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</si>
  <si>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</si>
  <si>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</si>
  <si>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</si>
  <si>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</si>
  <si>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</si>
  <si>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</si>
  <si>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</si>
  <si>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</si>
  <si>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Incompatibilidad de perfiles entre versiones de modelos.</t>
  </si>
  <si>
    <t>Corrupción del archivo de perfiles al guardar/cargar.</t>
  </si>
  <si>
    <t>Tooltips (HU 3) confusos o técnicamente erróneos.</t>
  </si>
  <si>
    <t>Dependencias de CUDA incompatibles con hardware local.</t>
  </si>
  <si>
    <t>Pérdida de código por mal manejo de ramas Git.</t>
  </si>
  <si>
    <t>Latencia excesiva al cargar la lista de perfiles (HU 2).</t>
  </si>
  <si>
    <t>Falta de espacio en disco por modelos pesados.</t>
  </si>
  <si>
    <t>Vulnerabilidades en librerías de terceros (Gradío Custom).</t>
  </si>
  <si>
    <t>Conflicto de parámetros (ej. Temperature=0 con Top_P).</t>
  </si>
  <si>
    <t>Entendimiento de uso</t>
  </si>
  <si>
    <t xml:space="preserve"> Aceptable</t>
  </si>
  <si>
    <t xml:space="preserve"> Tolerable</t>
  </si>
  <si>
    <t xml:space="preserve"> Alto</t>
  </si>
  <si>
    <t xml:space="preserve"> Extremo</t>
  </si>
  <si>
    <t>Fallo en descarga de archivos (export chat)</t>
  </si>
  <si>
    <t>R11</t>
  </si>
  <si>
    <t>R12</t>
  </si>
  <si>
    <t>R13</t>
  </si>
  <si>
    <t>R14</t>
  </si>
  <si>
    <t>R15</t>
  </si>
  <si>
    <t>Ingreso de datos inválidos por el usuario en variables del prompt</t>
  </si>
  <si>
    <t>Uso incorrecto de parámetros del modelo (temperature, top_p, etc.)</t>
  </si>
  <si>
    <t>Interfaz poco intuitiva para completar templates</t>
  </si>
  <si>
    <t>Generación de prompts ambiguos o mal estructurados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</si>
</sst>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1" fillId="5" borderId="1" xfId="0" applyFont="1" applyFill="1" applyBorder="1"/>
    <xf numFmtId="0" fontId="1" fillId="3" borderId="1" xfId="0" applyFont="1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vertical="center" wrapText="1"/>
    </xf>
    <xf numFmtId="0" fontId="0" fillId="3" borderId="1" xfId="0" applyFill="1" applyBorder="1"/>
    <xf numFmtId="0" fontId="0" fillId="5" borderId="1" xfId="0" applyFill="1" applyBorder="1"/>
    <xf numFmtId="0" fontId="0" fillId="0" borderId="2" xfId="0" applyBorder="1"/>
    <xf numFmtId="0" fontId="0" fillId="0" borderId="8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7" xfId="0" applyBorder="1"/>
    <xf numFmtId="0" fontId="2" fillId="6" borderId="1" xfId="0" applyFont="1" applyFill="1" applyBorder="1"/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1" fillId="0" borderId="1" xfId="0" applyFont="1" applyBorder="1"/>
    <xf numFmtId="0" fontId="2" fillId="6" borderId="1" xfId="0" applyFont="1" applyFill="1" applyBorder="1" applyAlignment="1">
      <alignment horizontal="center"/>
    </xf>
    <xf numFmtId="0" fontId="0" fillId="8" borderId="0" xfId="0" applyFill="1"/>
    <xf numFmtId="0" fontId="7" fillId="8" borderId="0" xfId="1" applyFill="1"/>
    <xf numFmtId="0" fontId="0" fillId="9" borderId="1" xfId="0" applyFill="1" applyBorder="1" applyAlignment="1">
      <alignment horizontal="center"/>
    </xf>
    <xf numFmtId="0" fontId="8" fillId="9" borderId="1" xfId="0" applyFont="1" applyFill="1" applyBorder="1" applyAlignment="1">
      <alignment wrapText="1"/>
    </xf>
    <xf numFmtId="0" fontId="3" fillId="0" borderId="1" xfId="0" applyFont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textRotation="90"/>
    </xf>
    <xf numFmtId="0" fontId="3" fillId="0" borderId="0" xfId="0" applyFont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5" fillId="8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4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EJERCICIO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0</xdr:rowOff>
    </xdr:from>
    <xdr:to>
      <xdr:col>5</xdr:col>
      <xdr:colOff>695836</xdr:colOff>
      <xdr:row>10</xdr:row>
      <xdr:rowOff>152687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0"/>
          <a:ext cx="3658111" cy="2057687"/>
        </a:xfrm>
        <a:prstGeom prst="rect">
          <a:avLst/>
        </a:prstGeom>
      </xdr:spPr>
    </xdr:pic>
    <xdr:clientData/>
  </xdr:twoCellAnchor>
  <xdr:twoCellAnchor>
    <xdr:from>
      <xdr:col>2</xdr:col>
      <xdr:colOff>200025</xdr:colOff>
      <xdr:row>15</xdr:row>
      <xdr:rowOff>180975</xdr:rowOff>
    </xdr:from>
    <xdr:to>
      <xdr:col>4</xdr:col>
      <xdr:colOff>581025</xdr:colOff>
      <xdr:row>19</xdr:row>
      <xdr:rowOff>57150</xdr:rowOff>
    </xdr:to>
    <xdr:sp macro="" textlink="">
      <xdr:nvSpPr>
        <xdr:cNvPr id="3" name="Bisel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724025" y="3038475"/>
          <a:ext cx="1905000" cy="638175"/>
        </a:xfrm>
        <a:prstGeom prst="bevel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C" sz="2000" b="1"/>
            <a:t>BIENVENIDO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H19"/>
  <sheetViews>
    <sheetView workbookViewId="0">
      <selection activeCell="F23" sqref="F23"/>
    </sheetView>
  </sheetViews>
  <sheetFormatPr defaultColWidth="11.42578125" defaultRowHeight="15" x14ac:dyDescent="0.25"/>
  <cols>
    <col min="1" max="16384" width="11.42578125" style="24"/>
  </cols>
  <sheetData>
    <row r="11" spans="1:8" x14ac:dyDescent="0.25">
      <c r="H11" s="24" t="s">
        <v>30</v>
      </c>
    </row>
    <row r="12" spans="1:8" x14ac:dyDescent="0.25">
      <c r="A12" s="35" t="s">
        <v>31</v>
      </c>
      <c r="B12" s="35"/>
      <c r="C12" s="35"/>
      <c r="D12" s="35"/>
      <c r="E12" s="35"/>
      <c r="F12" s="35"/>
      <c r="G12" s="35"/>
    </row>
    <row r="13" spans="1:8" x14ac:dyDescent="0.25">
      <c r="A13" s="35"/>
      <c r="B13" s="35"/>
      <c r="C13" s="35"/>
      <c r="D13" s="35"/>
      <c r="E13" s="35"/>
      <c r="F13" s="35"/>
      <c r="G13" s="35"/>
    </row>
    <row r="14" spans="1:8" x14ac:dyDescent="0.25">
      <c r="A14" s="35"/>
      <c r="B14" s="35"/>
      <c r="C14" s="35"/>
      <c r="D14" s="35"/>
      <c r="E14" s="35"/>
      <c r="F14" s="35"/>
      <c r="G14" s="35"/>
    </row>
    <row r="15" spans="1:8" x14ac:dyDescent="0.25">
      <c r="A15" s="35"/>
      <c r="B15" s="35"/>
      <c r="C15" s="35"/>
      <c r="D15" s="35"/>
      <c r="E15" s="35"/>
      <c r="F15" s="35"/>
      <c r="G15" s="35"/>
    </row>
    <row r="19" spans="1:1" x14ac:dyDescent="0.25">
      <c r="A19" s="25"/>
    </row>
  </sheetData>
  <sheetProtection algorithmName="SHA-512" hashValue="E0APEELRhuz+nFS/0EYZ+DdHpReFn8XJvRXaKwj22sdgsvhi3r7cEZ427+YgD+h66H12x0D54pu1J81SXKMzjw==" saltValue="br02h9Yle97m9TK8xptEEw==" spinCount="100000" sheet="1" objects="1" scenarios="1" selectLockedCells="1" selectUnlockedCells="1"/>
  <mergeCells count="1">
    <mergeCell ref="A12:G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1:Q15"/>
  <sheetViews>
    <sheetView zoomScale="120" zoomScaleNormal="120" workbookViewId="0"/>
  </sheetViews>
  <sheetFormatPr defaultColWidth="11.42578125" defaultRowHeight="15" x14ac:dyDescent="0.25"/>
  <cols>
    <col min="1" max="1" width="3.7109375" customWidth="1"/>
    <col min="2" max="2" width="3.7109375" bestFit="1" customWidth="1"/>
    <col min="3" max="3" width="9.140625" bestFit="1" customWidth="1"/>
    <col min="4" max="4" width="2" bestFit="1" customWidth="1"/>
    <col min="5" max="5" width="16.28515625" customWidth="1"/>
    <col min="6" max="9" width="15.7109375" customWidth="1"/>
    <col min="11" max="11" width="16.42578125" bestFit="1" customWidth="1"/>
    <col min="12" max="12" width="5.7109375" bestFit="1" customWidth="1"/>
    <col min="13" max="13" width="3.42578125" bestFit="1" customWidth="1"/>
    <col min="14" max="14" width="2" bestFit="1" customWidth="1"/>
    <col min="15" max="15" width="3.42578125" bestFit="1" customWidth="1"/>
    <col min="16" max="16" width="7.140625" bestFit="1" customWidth="1"/>
  </cols>
  <sheetData>
    <row r="1" spans="2:17" x14ac:dyDescent="0.25">
      <c r="B1" s="33"/>
      <c r="C1" s="33"/>
      <c r="D1" s="33"/>
      <c r="E1" s="33"/>
      <c r="F1" s="33"/>
      <c r="G1" s="33"/>
      <c r="H1" s="33"/>
      <c r="I1" s="33"/>
    </row>
    <row r="2" spans="2:17" ht="21" x14ac:dyDescent="0.35">
      <c r="E2" s="34" t="s">
        <v>29</v>
      </c>
      <c r="F2" s="34"/>
      <c r="G2" s="34"/>
      <c r="H2" s="34"/>
      <c r="I2" s="34"/>
    </row>
    <row r="3" spans="2:17" x14ac:dyDescent="0.25">
      <c r="E3" s="29" t="s">
        <v>2</v>
      </c>
      <c r="F3" s="30"/>
      <c r="G3" s="30"/>
      <c r="H3" s="30"/>
      <c r="I3" s="31"/>
    </row>
    <row r="4" spans="2:17" x14ac:dyDescent="0.25">
      <c r="E4" s="23" t="s">
        <v>7</v>
      </c>
      <c r="F4" s="23" t="s">
        <v>0</v>
      </c>
      <c r="G4" s="23" t="s">
        <v>8</v>
      </c>
      <c r="H4" s="23" t="s">
        <v>1</v>
      </c>
      <c r="I4" s="23" t="s">
        <v>9</v>
      </c>
    </row>
    <row r="5" spans="2:17" x14ac:dyDescent="0.25">
      <c r="B5" s="16"/>
      <c r="C5" s="16"/>
      <c r="D5" s="16"/>
      <c r="E5" s="19">
        <v>1</v>
      </c>
      <c r="F5" s="19">
        <v>2</v>
      </c>
      <c r="G5" s="19">
        <v>3</v>
      </c>
      <c r="H5" s="19">
        <v>4</v>
      </c>
      <c r="I5" s="19">
        <v>5</v>
      </c>
      <c r="K5" s="21" t="s">
        <v>26</v>
      </c>
      <c r="L5" s="28" t="s">
        <v>27</v>
      </c>
      <c r="M5" s="28"/>
      <c r="N5" s="28"/>
      <c r="O5" s="28"/>
      <c r="P5" s="28"/>
      <c r="Q5" s="21" t="s">
        <v>28</v>
      </c>
    </row>
    <row r="6" spans="2:17" x14ac:dyDescent="0.25">
      <c r="B6" s="32" t="s">
        <v>15</v>
      </c>
      <c r="C6" s="18" t="s">
        <v>10</v>
      </c>
      <c r="D6" s="18">
        <v>5</v>
      </c>
      <c r="E6" s="1"/>
      <c r="F6" s="1"/>
      <c r="G6" s="1"/>
      <c r="H6" s="22"/>
      <c r="I6" s="22"/>
      <c r="K6" s="1" t="s">
        <v>3</v>
      </c>
      <c r="L6" s="10" t="s">
        <v>23</v>
      </c>
      <c r="M6" s="11">
        <v>1</v>
      </c>
      <c r="N6" s="11" t="s">
        <v>24</v>
      </c>
      <c r="O6" s="11">
        <v>4</v>
      </c>
      <c r="P6" s="12" t="s">
        <v>25</v>
      </c>
      <c r="Q6" s="8"/>
    </row>
    <row r="7" spans="2:17" x14ac:dyDescent="0.25">
      <c r="B7" s="32"/>
      <c r="C7" s="18" t="s">
        <v>11</v>
      </c>
      <c r="D7" s="18">
        <v>4</v>
      </c>
      <c r="E7" s="22"/>
      <c r="F7" s="1"/>
      <c r="G7" s="1"/>
      <c r="H7" s="1"/>
      <c r="I7" s="22"/>
      <c r="K7" s="1" t="s">
        <v>4</v>
      </c>
      <c r="L7" s="13" t="s">
        <v>23</v>
      </c>
      <c r="M7">
        <v>5</v>
      </c>
      <c r="N7" t="s">
        <v>24</v>
      </c>
      <c r="O7">
        <v>10</v>
      </c>
      <c r="P7" s="14" t="s">
        <v>25</v>
      </c>
      <c r="Q7" s="2"/>
    </row>
    <row r="8" spans="2:17" x14ac:dyDescent="0.25">
      <c r="B8" s="32"/>
      <c r="C8" s="18" t="s">
        <v>14</v>
      </c>
      <c r="D8" s="18">
        <v>3</v>
      </c>
      <c r="E8" s="22"/>
      <c r="F8" s="1"/>
      <c r="G8" s="1"/>
      <c r="H8" s="1"/>
      <c r="I8" s="1"/>
      <c r="K8" s="1" t="s">
        <v>5</v>
      </c>
      <c r="L8" s="13" t="s">
        <v>23</v>
      </c>
      <c r="M8">
        <v>11</v>
      </c>
      <c r="N8" t="s">
        <v>24</v>
      </c>
      <c r="O8">
        <v>16</v>
      </c>
      <c r="P8" s="14" t="s">
        <v>25</v>
      </c>
      <c r="Q8" s="3"/>
    </row>
    <row r="9" spans="2:17" x14ac:dyDescent="0.25">
      <c r="B9" s="32"/>
      <c r="C9" s="18" t="s">
        <v>12</v>
      </c>
      <c r="D9" s="18">
        <v>2</v>
      </c>
      <c r="E9" s="22"/>
      <c r="F9" s="22"/>
      <c r="G9" s="1"/>
      <c r="H9" s="1"/>
      <c r="I9" s="1"/>
      <c r="K9" s="1" t="s">
        <v>6</v>
      </c>
      <c r="L9" s="15" t="s">
        <v>23</v>
      </c>
      <c r="M9" s="16">
        <v>17</v>
      </c>
      <c r="N9" s="16" t="s">
        <v>24</v>
      </c>
      <c r="O9" s="16">
        <v>25</v>
      </c>
      <c r="P9" s="17" t="s">
        <v>25</v>
      </c>
      <c r="Q9" s="9"/>
    </row>
    <row r="10" spans="2:17" x14ac:dyDescent="0.25">
      <c r="B10" s="32"/>
      <c r="C10" s="18" t="s">
        <v>13</v>
      </c>
      <c r="D10" s="18">
        <v>1</v>
      </c>
      <c r="E10" s="22"/>
      <c r="F10" s="22"/>
      <c r="G10" s="22"/>
      <c r="H10" s="1"/>
      <c r="I10" s="1"/>
    </row>
    <row r="14" spans="2:17" ht="30" customHeight="1" x14ac:dyDescent="0.25">
      <c r="E14" s="20" t="s">
        <v>20</v>
      </c>
      <c r="F14" s="20" t="s">
        <v>15</v>
      </c>
      <c r="G14" s="20" t="s">
        <v>16</v>
      </c>
      <c r="H14" s="20" t="s">
        <v>17</v>
      </c>
      <c r="I14" s="20" t="s">
        <v>18</v>
      </c>
      <c r="J14" s="20" t="s">
        <v>21</v>
      </c>
      <c r="K14" s="20" t="s">
        <v>19</v>
      </c>
      <c r="L14" s="7"/>
    </row>
    <row r="15" spans="2:17" x14ac:dyDescent="0.25">
      <c r="E15" s="6" t="s">
        <v>22</v>
      </c>
      <c r="F15" s="6"/>
      <c r="G15" s="6"/>
      <c r="H15" s="6"/>
      <c r="I15" s="6"/>
      <c r="J15" s="6"/>
      <c r="K15" s="6"/>
    </row>
  </sheetData>
  <mergeCells count="5">
    <mergeCell ref="E2:I2"/>
    <mergeCell ref="B1:I1"/>
    <mergeCell ref="E3:I3"/>
    <mergeCell ref="L5:P5"/>
    <mergeCell ref="B6:B1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B1:Q29"/>
  <sheetViews>
    <sheetView tabSelected="1" topLeftCell="A6" zoomScale="85" zoomScaleNormal="85" workbookViewId="0">
      <selection activeCell="T27" sqref="T27"/>
    </sheetView>
  </sheetViews>
  <sheetFormatPr defaultColWidth="11.42578125" defaultRowHeight="15" x14ac:dyDescent="0.25"/>
  <cols>
    <col min="1" max="1" width="3.7109375" customWidth="1"/>
    <col min="2" max="2" width="3.7109375" bestFit="1" customWidth="1"/>
    <col min="3" max="3" width="9.140625" bestFit="1" customWidth="1"/>
    <col min="4" max="4" width="4.28515625" customWidth="1"/>
    <col min="5" max="5" width="26.85546875" customWidth="1"/>
    <col min="6" max="9" width="15.7109375" customWidth="1"/>
    <col min="11" max="11" width="16.42578125" bestFit="1" customWidth="1"/>
    <col min="12" max="12" width="5.7109375" bestFit="1" customWidth="1"/>
    <col min="13" max="13" width="3.42578125" bestFit="1" customWidth="1"/>
    <col min="14" max="14" width="2" bestFit="1" customWidth="1"/>
    <col min="15" max="15" width="3.42578125" bestFit="1" customWidth="1"/>
    <col min="16" max="16" width="7.140625" bestFit="1" customWidth="1"/>
  </cols>
  <sheetData>
    <row r="1" spans="2:17" x14ac:dyDescent="0.25">
      <c r="B1" s="33"/>
      <c r="C1" s="33"/>
      <c r="D1" s="33"/>
      <c r="E1" s="33"/>
      <c r="F1" s="33"/>
      <c r="G1" s="33"/>
      <c r="H1" s="33"/>
      <c r="I1" s="33"/>
    </row>
    <row r="2" spans="2:17" ht="21" x14ac:dyDescent="0.35">
      <c r="E2" s="34" t="s">
        <v>29</v>
      </c>
      <c r="F2" s="34"/>
      <c r="G2" s="34"/>
      <c r="H2" s="34"/>
      <c r="I2" s="34"/>
    </row>
    <row r="3" spans="2:17" x14ac:dyDescent="0.25">
      <c r="E3" s="29" t="s">
        <v>2</v>
      </c>
      <c r="F3" s="30"/>
      <c r="G3" s="30"/>
      <c r="H3" s="30"/>
      <c r="I3" s="31"/>
    </row>
    <row r="4" spans="2:17" x14ac:dyDescent="0.25">
      <c r="E4" s="19" t="s">
        <v>7</v>
      </c>
      <c r="F4" s="19" t="s">
        <v>0</v>
      </c>
      <c r="G4" s="19" t="s">
        <v>8</v>
      </c>
      <c r="H4" s="19" t="s">
        <v>1</v>
      </c>
      <c r="I4" s="19" t="s">
        <v>9</v>
      </c>
    </row>
    <row r="5" spans="2:17" x14ac:dyDescent="0.25">
      <c r="B5" s="16"/>
      <c r="C5" s="16"/>
      <c r="D5" s="16"/>
      <c r="E5" s="19">
        <v>1</v>
      </c>
      <c r="F5" s="19">
        <v>2</v>
      </c>
      <c r="G5" s="19">
        <v>3</v>
      </c>
      <c r="H5" s="19">
        <v>4</v>
      </c>
      <c r="I5" s="19">
        <v>5</v>
      </c>
      <c r="K5" s="21" t="s">
        <v>26</v>
      </c>
      <c r="L5" s="28" t="s">
        <v>27</v>
      </c>
      <c r="M5" s="28"/>
      <c r="N5" s="28"/>
      <c r="O5" s="28"/>
      <c r="P5" s="28"/>
      <c r="Q5" s="21" t="s">
        <v>28</v>
      </c>
    </row>
    <row r="6" spans="2:17" x14ac:dyDescent="0.25">
      <c r="B6" s="32" t="s">
        <v>15</v>
      </c>
      <c r="C6" s="18" t="s">
        <v>10</v>
      </c>
      <c r="D6" s="18">
        <v>5</v>
      </c>
      <c r="E6" s="2">
        <f>+E$5*$D6</f>
        <v>5</v>
      </c>
      <c r="F6" s="2">
        <f t="shared" ref="F6:I10" si="0">+F$5*$D6</f>
        <v>10</v>
      </c>
      <c r="G6" s="3">
        <f t="shared" si="0"/>
        <v>15</v>
      </c>
      <c r="H6" s="4">
        <f t="shared" si="0"/>
        <v>20</v>
      </c>
      <c r="I6" s="4">
        <f t="shared" si="0"/>
        <v>25</v>
      </c>
      <c r="K6" s="1" t="s">
        <v>53</v>
      </c>
      <c r="L6" s="10" t="s">
        <v>23</v>
      </c>
      <c r="M6" s="11">
        <v>1</v>
      </c>
      <c r="N6" s="11" t="s">
        <v>24</v>
      </c>
      <c r="O6" s="11">
        <v>4</v>
      </c>
      <c r="P6" s="12" t="s">
        <v>25</v>
      </c>
      <c r="Q6" s="8"/>
    </row>
    <row r="7" spans="2:17" x14ac:dyDescent="0.25">
      <c r="B7" s="32"/>
      <c r="C7" s="18" t="s">
        <v>11</v>
      </c>
      <c r="D7" s="18">
        <v>4</v>
      </c>
      <c r="E7" s="5">
        <f t="shared" ref="E7:E10" si="1">+E$5*$D7</f>
        <v>4</v>
      </c>
      <c r="F7" s="2">
        <f t="shared" si="0"/>
        <v>8</v>
      </c>
      <c r="G7" s="3">
        <f t="shared" si="0"/>
        <v>12</v>
      </c>
      <c r="H7" s="3">
        <f t="shared" si="0"/>
        <v>16</v>
      </c>
      <c r="I7" s="4">
        <f t="shared" si="0"/>
        <v>20</v>
      </c>
      <c r="K7" s="1" t="s">
        <v>54</v>
      </c>
      <c r="L7" s="13" t="s">
        <v>23</v>
      </c>
      <c r="M7">
        <v>5</v>
      </c>
      <c r="N7" t="s">
        <v>24</v>
      </c>
      <c r="O7">
        <v>10</v>
      </c>
      <c r="P7" s="14" t="s">
        <v>25</v>
      </c>
      <c r="Q7" s="2"/>
    </row>
    <row r="8" spans="2:17" x14ac:dyDescent="0.25">
      <c r="B8" s="32"/>
      <c r="C8" s="18" t="s">
        <v>14</v>
      </c>
      <c r="D8" s="18">
        <v>3</v>
      </c>
      <c r="E8" s="5">
        <f t="shared" si="1"/>
        <v>3</v>
      </c>
      <c r="F8" s="2">
        <f t="shared" si="0"/>
        <v>6</v>
      </c>
      <c r="G8" s="2">
        <f t="shared" si="0"/>
        <v>9</v>
      </c>
      <c r="H8" s="3">
        <f t="shared" si="0"/>
        <v>12</v>
      </c>
      <c r="I8" s="3">
        <f t="shared" si="0"/>
        <v>15</v>
      </c>
      <c r="K8" s="1" t="s">
        <v>55</v>
      </c>
      <c r="L8" s="13" t="s">
        <v>23</v>
      </c>
      <c r="M8">
        <v>11</v>
      </c>
      <c r="N8" t="s">
        <v>24</v>
      </c>
      <c r="O8">
        <v>16</v>
      </c>
      <c r="P8" s="14" t="s">
        <v>25</v>
      </c>
      <c r="Q8" s="3"/>
    </row>
    <row r="9" spans="2:17" x14ac:dyDescent="0.25">
      <c r="B9" s="32"/>
      <c r="C9" s="18" t="s">
        <v>12</v>
      </c>
      <c r="D9" s="18">
        <v>2</v>
      </c>
      <c r="E9" s="5">
        <f t="shared" si="1"/>
        <v>2</v>
      </c>
      <c r="F9" s="5">
        <f t="shared" si="0"/>
        <v>4</v>
      </c>
      <c r="G9" s="2">
        <f t="shared" si="0"/>
        <v>6</v>
      </c>
      <c r="H9" s="2">
        <f t="shared" si="0"/>
        <v>8</v>
      </c>
      <c r="I9" s="3">
        <f t="shared" si="0"/>
        <v>10</v>
      </c>
      <c r="K9" s="1" t="s">
        <v>56</v>
      </c>
      <c r="L9" s="15" t="s">
        <v>23</v>
      </c>
      <c r="M9" s="16">
        <v>17</v>
      </c>
      <c r="N9" s="16" t="s">
        <v>24</v>
      </c>
      <c r="O9" s="16">
        <v>25</v>
      </c>
      <c r="P9" s="17" t="s">
        <v>25</v>
      </c>
      <c r="Q9" s="9"/>
    </row>
    <row r="10" spans="2:17" x14ac:dyDescent="0.25">
      <c r="B10" s="32"/>
      <c r="C10" s="18" t="s">
        <v>13</v>
      </c>
      <c r="D10" s="18">
        <v>1</v>
      </c>
      <c r="E10" s="5">
        <f t="shared" si="1"/>
        <v>1</v>
      </c>
      <c r="F10" s="5">
        <f t="shared" si="0"/>
        <v>2</v>
      </c>
      <c r="G10" s="5">
        <f t="shared" si="0"/>
        <v>3</v>
      </c>
      <c r="H10" s="2">
        <f t="shared" si="0"/>
        <v>4</v>
      </c>
      <c r="I10" s="2">
        <f t="shared" si="0"/>
        <v>5</v>
      </c>
    </row>
    <row r="14" spans="2:17" ht="30" customHeight="1" x14ac:dyDescent="0.25">
      <c r="D14" s="19" t="s">
        <v>32</v>
      </c>
      <c r="E14" s="20" t="s">
        <v>20</v>
      </c>
      <c r="F14" s="20" t="s">
        <v>15</v>
      </c>
      <c r="G14" s="20" t="s">
        <v>16</v>
      </c>
      <c r="H14" s="20" t="s">
        <v>17</v>
      </c>
      <c r="I14" s="20" t="s">
        <v>18</v>
      </c>
      <c r="J14" s="20" t="s">
        <v>21</v>
      </c>
      <c r="K14" s="20" t="s">
        <v>19</v>
      </c>
      <c r="L14" s="7"/>
    </row>
    <row r="15" spans="2:17" ht="26.25" x14ac:dyDescent="0.25">
      <c r="D15" s="27" t="s">
        <v>33</v>
      </c>
      <c r="E15" s="27" t="s">
        <v>43</v>
      </c>
      <c r="F15" s="26" t="s">
        <v>14</v>
      </c>
      <c r="G15" s="26">
        <f>VLOOKUP(F15,$C$6:$D$10,2,FALSE)</f>
        <v>3</v>
      </c>
      <c r="H15" s="26" t="s">
        <v>8</v>
      </c>
      <c r="I15" s="26">
        <f>HLOOKUP(H15,$E$4:$I$5,2,FALSE)</f>
        <v>3</v>
      </c>
      <c r="J15" s="26">
        <f>+G15*I15</f>
        <v>9</v>
      </c>
      <c r="K15" s="6" t="str">
        <f>IF(J15&gt;=17,$K$9,IF(J15&gt;=11,$K$8,IF(J15&gt;=5,$K$7,IF(J15&gt;=1,$K$6,0))))</f>
        <v xml:space="preserve"> Tolerable</v>
      </c>
    </row>
    <row r="16" spans="2:17" ht="26.25" x14ac:dyDescent="0.25">
      <c r="D16" s="27" t="s">
        <v>34</v>
      </c>
      <c r="E16" s="27" t="s">
        <v>44</v>
      </c>
      <c r="F16" s="26" t="s">
        <v>12</v>
      </c>
      <c r="G16" s="26">
        <f t="shared" ref="G16:G24" si="2">VLOOKUP(F16,$C$6:$D$10,2,FALSE)</f>
        <v>2</v>
      </c>
      <c r="H16" s="26" t="s">
        <v>0</v>
      </c>
      <c r="I16" s="26">
        <f t="shared" ref="I16:I24" si="3">HLOOKUP(H16,$E$4:$I$5,2,FALSE)</f>
        <v>2</v>
      </c>
      <c r="J16" s="26">
        <f t="shared" ref="J16:J24" si="4">+G16*I16</f>
        <v>4</v>
      </c>
      <c r="K16" s="6" t="str">
        <f t="shared" ref="K16:K24" si="5">IF(J16&gt;=17,$K$9,IF(J16&gt;=11,$K$8,IF(J16&gt;=5,$K$7,IF(J16&gt;=1,$K$6,0))))</f>
        <v xml:space="preserve"> Aceptable</v>
      </c>
    </row>
    <row r="17" spans="4:11" ht="26.25" x14ac:dyDescent="0.25">
      <c r="D17" s="27" t="s">
        <v>35</v>
      </c>
      <c r="E17" s="27" t="s">
        <v>45</v>
      </c>
      <c r="F17" s="26" t="s">
        <v>12</v>
      </c>
      <c r="G17" s="26">
        <f t="shared" si="2"/>
        <v>2</v>
      </c>
      <c r="H17" s="26" t="s">
        <v>7</v>
      </c>
      <c r="I17" s="26">
        <f t="shared" si="3"/>
        <v>1</v>
      </c>
      <c r="J17" s="26">
        <f t="shared" si="4"/>
        <v>2</v>
      </c>
      <c r="K17" s="6" t="str">
        <f t="shared" si="5"/>
        <v xml:space="preserve"> Aceptable</v>
      </c>
    </row>
    <row r="18" spans="4:11" ht="39" x14ac:dyDescent="0.25">
      <c r="D18" s="27" t="s">
        <v>36</v>
      </c>
      <c r="E18" s="27" t="s">
        <v>46</v>
      </c>
      <c r="F18" s="26" t="s">
        <v>11</v>
      </c>
      <c r="G18" s="26">
        <f t="shared" si="2"/>
        <v>4</v>
      </c>
      <c r="H18" s="26" t="s">
        <v>1</v>
      </c>
      <c r="I18" s="26">
        <f t="shared" si="3"/>
        <v>4</v>
      </c>
      <c r="J18" s="26">
        <f t="shared" si="4"/>
        <v>16</v>
      </c>
      <c r="K18" s="6" t="str">
        <f t="shared" si="5"/>
        <v xml:space="preserve"> Alto</v>
      </c>
    </row>
    <row r="19" spans="4:11" ht="26.25" x14ac:dyDescent="0.25">
      <c r="D19" s="27" t="s">
        <v>37</v>
      </c>
      <c r="E19" s="27" t="s">
        <v>47</v>
      </c>
      <c r="F19" s="26" t="s">
        <v>14</v>
      </c>
      <c r="G19" s="26">
        <f t="shared" si="2"/>
        <v>3</v>
      </c>
      <c r="H19" s="26" t="s">
        <v>1</v>
      </c>
      <c r="I19" s="26">
        <f t="shared" si="3"/>
        <v>4</v>
      </c>
      <c r="J19" s="26">
        <f t="shared" si="4"/>
        <v>12</v>
      </c>
      <c r="K19" s="6" t="str">
        <f t="shared" si="5"/>
        <v xml:space="preserve"> Alto</v>
      </c>
    </row>
    <row r="20" spans="4:11" ht="26.25" x14ac:dyDescent="0.25">
      <c r="D20" s="27" t="s">
        <v>38</v>
      </c>
      <c r="E20" s="27" t="s">
        <v>48</v>
      </c>
      <c r="F20" s="26" t="s">
        <v>12</v>
      </c>
      <c r="G20" s="26">
        <f t="shared" si="2"/>
        <v>2</v>
      </c>
      <c r="H20" s="26" t="s">
        <v>0</v>
      </c>
      <c r="I20" s="26">
        <f t="shared" si="3"/>
        <v>2</v>
      </c>
      <c r="J20" s="26">
        <f t="shared" si="4"/>
        <v>4</v>
      </c>
      <c r="K20" s="6" t="str">
        <f t="shared" si="5"/>
        <v xml:space="preserve"> Aceptable</v>
      </c>
    </row>
    <row r="21" spans="4:11" ht="26.25" x14ac:dyDescent="0.25">
      <c r="D21" s="27" t="s">
        <v>39</v>
      </c>
      <c r="E21" s="27" t="s">
        <v>49</v>
      </c>
      <c r="F21" s="26" t="s">
        <v>14</v>
      </c>
      <c r="G21" s="26">
        <f t="shared" si="2"/>
        <v>3</v>
      </c>
      <c r="H21" s="26" t="s">
        <v>1</v>
      </c>
      <c r="I21" s="26">
        <f t="shared" si="3"/>
        <v>4</v>
      </c>
      <c r="J21" s="26">
        <f t="shared" si="4"/>
        <v>12</v>
      </c>
      <c r="K21" s="6" t="str">
        <f t="shared" si="5"/>
        <v xml:space="preserve"> Alto</v>
      </c>
    </row>
    <row r="22" spans="4:11" ht="26.25" x14ac:dyDescent="0.25">
      <c r="D22" s="27" t="s">
        <v>40</v>
      </c>
      <c r="E22" s="27" t="s">
        <v>50</v>
      </c>
      <c r="F22" s="26" t="s">
        <v>14</v>
      </c>
      <c r="G22" s="26">
        <f t="shared" si="2"/>
        <v>3</v>
      </c>
      <c r="H22" s="26" t="s">
        <v>0</v>
      </c>
      <c r="I22" s="26">
        <f t="shared" si="3"/>
        <v>2</v>
      </c>
      <c r="J22" s="26">
        <f t="shared" si="4"/>
        <v>6</v>
      </c>
      <c r="K22" s="6" t="str">
        <f t="shared" si="5"/>
        <v xml:space="preserve"> Tolerable</v>
      </c>
    </row>
    <row r="23" spans="4:11" ht="26.25" x14ac:dyDescent="0.25">
      <c r="D23" s="27" t="s">
        <v>41</v>
      </c>
      <c r="E23" s="27" t="s">
        <v>51</v>
      </c>
      <c r="F23" s="26" t="s">
        <v>12</v>
      </c>
      <c r="G23" s="26">
        <f t="shared" si="2"/>
        <v>2</v>
      </c>
      <c r="H23" s="26" t="s">
        <v>7</v>
      </c>
      <c r="I23" s="26">
        <f t="shared" si="3"/>
        <v>1</v>
      </c>
      <c r="J23" s="26">
        <f t="shared" si="4"/>
        <v>2</v>
      </c>
      <c r="K23" s="6" t="str">
        <f t="shared" si="5"/>
        <v xml:space="preserve"> Aceptable</v>
      </c>
    </row>
    <row r="24" spans="4:11" x14ac:dyDescent="0.25">
      <c r="D24" s="27" t="s">
        <v>42</v>
      </c>
      <c r="E24" s="27" t="s">
        <v>52</v>
      </c>
      <c r="F24" s="26" t="s">
        <v>12</v>
      </c>
      <c r="G24" s="26">
        <f t="shared" si="2"/>
        <v>2</v>
      </c>
      <c r="H24" s="26" t="s">
        <v>0</v>
      </c>
      <c r="I24" s="26">
        <f t="shared" si="3"/>
        <v>2</v>
      </c>
      <c r="J24" s="26">
        <f t="shared" si="4"/>
        <v>4</v>
      </c>
      <c r="K24" s="6" t="str">
        <f t="shared" si="5"/>
        <v xml:space="preserve"> Aceptable</v>
      </c>
    </row>
    <row r="25" spans="4:11" ht="26.25" x14ac:dyDescent="0.25">
      <c r="D25" s="27" t="s">
        <v>58</v>
      </c>
      <c r="E25" s="27" t="s">
        <v>57</v>
      </c>
      <c r="F25" s="26" t="s">
        <v>14</v>
      </c>
      <c r="G25" s="26">
        <v>1</v>
      </c>
      <c r="H25" s="26" t="s">
        <v>8</v>
      </c>
      <c r="I25" s="26">
        <f t="shared" ref="I25" si="6">HLOOKUP(H25,$E$4:$I$5,2,FALSE)</f>
        <v>3</v>
      </c>
      <c r="J25" s="26">
        <f t="shared" ref="J25" si="7">+G25*I25</f>
        <v>3</v>
      </c>
      <c r="K25" s="6" t="str">
        <f t="shared" ref="K25" si="8">IF(J25&gt;=17,$K$9,IF(J25&gt;=11,$K$8,IF(J25&gt;=5,$K$7,IF(J25&gt;=1,$K$6,0))))</f>
        <v xml:space="preserve"> Aceptable</v>
      </c>
    </row>
    <row r="26" spans="4:11" ht="39" x14ac:dyDescent="0.25">
      <c r="D26" s="27" t="s">
        <v>59</v>
      </c>
      <c r="E26" s="27" t="s">
        <v>63</v>
      </c>
      <c r="F26" s="26" t="s">
        <v>14</v>
      </c>
      <c r="G26" s="26">
        <v>1</v>
      </c>
      <c r="H26" s="26" t="s">
        <v>8</v>
      </c>
      <c r="I26" s="26">
        <f t="shared" ref="I26:I29" si="9">HLOOKUP(H26,$E$4:$I$5,2,FALSE)</f>
        <v>3</v>
      </c>
      <c r="J26" s="26">
        <f t="shared" ref="J26:J29" si="10">+G26*I26</f>
        <v>3</v>
      </c>
      <c r="K26" s="6" t="str">
        <f t="shared" ref="K26:K29" si="11">IF(J26&gt;=17,$K$9,IF(J26&gt;=11,$K$8,IF(J26&gt;=5,$K$7,IF(J26&gt;=1,$K$6,0))))</f>
        <v xml:space="preserve"> Aceptable</v>
      </c>
    </row>
    <row r="27" spans="4:11" ht="39" x14ac:dyDescent="0.25">
      <c r="D27" s="27" t="s">
        <v>60</v>
      </c>
      <c r="E27" s="27" t="s">
        <v>64</v>
      </c>
      <c r="F27" s="26" t="s">
        <v>14</v>
      </c>
      <c r="G27" s="26">
        <v>2</v>
      </c>
      <c r="H27" s="26" t="s">
        <v>0</v>
      </c>
      <c r="I27" s="26">
        <f t="shared" si="9"/>
        <v>2</v>
      </c>
      <c r="J27" s="26">
        <f t="shared" si="10"/>
        <v>4</v>
      </c>
      <c r="K27" s="6" t="str">
        <f t="shared" si="11"/>
        <v xml:space="preserve"> Aceptable</v>
      </c>
    </row>
    <row r="28" spans="4:11" ht="26.25" x14ac:dyDescent="0.25">
      <c r="D28" s="27" t="s">
        <v>61</v>
      </c>
      <c r="E28" s="27" t="s">
        <v>65</v>
      </c>
      <c r="F28" s="26" t="s">
        <v>14</v>
      </c>
      <c r="G28" s="26">
        <v>1</v>
      </c>
      <c r="H28" s="26" t="s">
        <v>0</v>
      </c>
      <c r="I28" s="26">
        <f t="shared" si="9"/>
        <v>2</v>
      </c>
      <c r="J28" s="26">
        <f t="shared" si="10"/>
        <v>2</v>
      </c>
      <c r="K28" s="6" t="str">
        <f t="shared" si="11"/>
        <v xml:space="preserve"> Aceptable</v>
      </c>
    </row>
    <row r="29" spans="4:11" ht="26.25" x14ac:dyDescent="0.25">
      <c r="D29" s="27" t="s">
        <v>62</v>
      </c>
      <c r="E29" s="27" t="s">
        <v>66</v>
      </c>
      <c r="F29" s="26" t="s">
        <v>14</v>
      </c>
      <c r="G29" s="26">
        <v>2</v>
      </c>
      <c r="H29" s="26" t="s">
        <v>8</v>
      </c>
      <c r="I29" s="26">
        <v>2</v>
      </c>
      <c r="J29" s="26">
        <f t="shared" si="10"/>
        <v>4</v>
      </c>
      <c r="K29" s="6" t="str">
        <f t="shared" si="11"/>
        <v xml:space="preserve"> Aceptable</v>
      </c>
    </row>
  </sheetData>
  <mergeCells count="5">
    <mergeCell ref="L5:P5"/>
    <mergeCell ref="E3:I3"/>
    <mergeCell ref="B6:B10"/>
    <mergeCell ref="B1:I1"/>
    <mergeCell ref="E2:I2"/>
  </mergeCells>
  <phoneticPr fontId="9" type="noConversion"/>
  <dataValidations count="2">
    <dataValidation type="list" allowBlank="1" showInputMessage="1" showErrorMessage="1" sqref="F15:F29" xr:uid="{00000000-0002-0000-0200-000000000000}">
      <formula1>$C$6:$C$10</formula1>
    </dataValidation>
    <dataValidation type="list" allowBlank="1" showInputMessage="1" showErrorMessage="1" sqref="H15:H29" xr:uid="{00000000-0002-0000-0200-000001000000}">
      <formula1>$E$4:$I$4</formula1>
    </dataValidation>
  </dataValidations>
  <pageMargins left="0.7" right="0.7" top="0.75" bottom="0.75" header="0.3" footer="0.3"/>
  <pageSetup orientation="portrait" horizontalDpi="360" verticalDpi="36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C3BCC636-6919-48CC-995D-FF5BB151C230}">
            <xm:f>NOT(ISERROR(SEARCH($K$9,K15)))</xm:f>
            <xm:f>$K$9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2" operator="containsText" id="{B7F5F0E4-392A-4CFF-B954-F1EE965CF117}">
            <xm:f>NOT(ISERROR(SEARCH($K$8,K15)))</xm:f>
            <xm:f>$K$8</xm:f>
            <x14:dxf>
              <font>
                <b/>
                <i val="0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3" operator="containsText" id="{6447E3DA-9383-4204-B897-6126ED60AC21}">
            <xm:f>NOT(ISERROR(SEARCH($K$7,K15)))</xm:f>
            <xm:f>$K$7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4" operator="containsText" id="{8FE6C41D-582D-4E2A-BA30-4E81D69D2364}">
            <xm:f>NOT(ISERROR(SEARCH($K$6,K15)))</xm:f>
            <xm:f>$K$6</xm:f>
            <x14:dxf>
              <font>
                <b/>
                <i val="0"/>
                <color theme="0"/>
              </font>
              <fill>
                <patternFill>
                  <bgColor rgb="FF00B050"/>
                </patternFill>
              </fill>
            </x14:dxf>
          </x14:cfRule>
          <xm:sqref>K15:K29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PRESENTACIÓN</vt:lpstr>
      <vt:lpstr>EJERCICIO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Brayan Polo</cp:lastModifiedBy>
  <dcterms:created xsi:type="dcterms:W3CDTF">2025-09-01T23:45:44Z</dcterms:created>
  <dcterms:modified xsi:type="dcterms:W3CDTF">2026-04-29T07:08:32Z</dcterms:modified>
</cp:coreProperties>
</file>