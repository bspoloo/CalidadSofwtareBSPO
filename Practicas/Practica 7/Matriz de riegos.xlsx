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Ciencias\CalidadSofwtareBSPO\Practicas\Practica 7\"/>
    </mc:Choice>
  </mc:AlternateContent>
  <xr:revisionPtr revIDLastSave="0" documentId="13_ncr:1_{75C35F34-4F95-421C-B988-CD99267951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3" l="1"/>
  <c r="G16" i="3"/>
  <c r="I16" i="3"/>
  <c r="G17" i="3"/>
  <c r="J17" i="3" s="1"/>
  <c r="K17" i="3" s="1"/>
  <c r="I17" i="3"/>
  <c r="G18" i="3"/>
  <c r="I18" i="3"/>
  <c r="G19" i="3"/>
  <c r="I19" i="3"/>
  <c r="G20" i="3"/>
  <c r="I20" i="3"/>
  <c r="G21" i="3"/>
  <c r="I21" i="3"/>
  <c r="G22" i="3"/>
  <c r="I22" i="3"/>
  <c r="G23" i="3"/>
  <c r="J23" i="3" s="1"/>
  <c r="I23" i="3"/>
  <c r="G24" i="3"/>
  <c r="I24" i="3"/>
  <c r="I15" i="3"/>
  <c r="G15" i="3"/>
  <c r="J24" i="3" l="1"/>
  <c r="K24" i="3" s="1"/>
  <c r="J22" i="3"/>
  <c r="K22" i="3" s="1"/>
  <c r="J21" i="3"/>
  <c r="K21" i="3" s="1"/>
  <c r="J20" i="3"/>
  <c r="K20" i="3" s="1"/>
  <c r="J19" i="3"/>
  <c r="K19" i="3" s="1"/>
  <c r="J18" i="3"/>
  <c r="K18" i="3" s="1"/>
  <c r="J16" i="3"/>
  <c r="K16" i="3" s="1"/>
  <c r="J15" i="3"/>
  <c r="K15" i="3" s="1"/>
  <c r="I10" i="3"/>
  <c r="H10" i="3"/>
  <c r="G10" i="3"/>
  <c r="F10" i="3"/>
  <c r="E10" i="3"/>
  <c r="I9" i="3"/>
  <c r="H9" i="3"/>
  <c r="G9" i="3"/>
  <c r="F9" i="3"/>
  <c r="E9" i="3"/>
  <c r="I8" i="3"/>
  <c r="H8" i="3"/>
  <c r="G8" i="3"/>
  <c r="F8" i="3"/>
  <c r="E8" i="3"/>
  <c r="I7" i="3"/>
  <c r="H7" i="3"/>
  <c r="G7" i="3"/>
  <c r="F7" i="3"/>
  <c r="E7" i="3"/>
  <c r="I6" i="3"/>
  <c r="H6" i="3"/>
  <c r="G6" i="3"/>
  <c r="F6" i="3"/>
  <c r="E6" i="3"/>
</calcChain>
</file>

<file path=xl/sharedStrings.xml><?xml version="1.0" encoding="utf-8"?>
<sst xmlns="http://schemas.openxmlformats.org/spreadsheetml/2006/main" count="80" uniqueCount="50">
  <si>
    <t>Menor</t>
  </si>
  <si>
    <t>Mayor</t>
  </si>
  <si>
    <t>Consecuencias</t>
  </si>
  <si>
    <t>Mínima</t>
  </si>
  <si>
    <t>Moderada</t>
  </si>
  <si>
    <t>Máxima</t>
  </si>
  <si>
    <t>Muy alta</t>
  </si>
  <si>
    <t>Alta</t>
  </si>
  <si>
    <t>Baja</t>
  </si>
  <si>
    <t>Muy baja</t>
  </si>
  <si>
    <t>Media</t>
  </si>
  <si>
    <t>Probabilidad</t>
  </si>
  <si>
    <t>NP</t>
  </si>
  <si>
    <t>Consecuencia</t>
  </si>
  <si>
    <t>NC</t>
  </si>
  <si>
    <t>Nivel de Riesgo</t>
  </si>
  <si>
    <t>Peligro</t>
  </si>
  <si>
    <t>NR</t>
  </si>
  <si>
    <t>Entre</t>
  </si>
  <si>
    <t>a</t>
  </si>
  <si>
    <t>puntos</t>
  </si>
  <si>
    <t>Nivel de riesgo</t>
  </si>
  <si>
    <t>Rango</t>
  </si>
  <si>
    <t>Color</t>
  </si>
  <si>
    <t>M A T R I Z   D E   R I E S G O</t>
  </si>
  <si>
    <t>ID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</si>
  <si>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</si>
  <si>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</si>
  <si>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</si>
  <si>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</si>
  <si>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</si>
  <si>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</si>
  <si>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</si>
  <si>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</si>
  <si>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</si>
  <si>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</si>
  <si>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Incompatibilidad de perfiles entre versiones de modelos.</t>
  </si>
  <si>
    <t>Corrupción del archivo de perfiles al guardar/cargar.</t>
  </si>
  <si>
    <t>Tooltips (HU 3) confusos o técnicamente erróneos.</t>
  </si>
  <si>
    <t>Dependencias de CUDA incompatibles con hardware local.</t>
  </si>
  <si>
    <t>Pérdida de código por mal manejo de ramas Git.</t>
  </si>
  <si>
    <t>Latencia excesiva al cargar la lista de perfiles (HU 2).</t>
  </si>
  <si>
    <t>Falta de espacio en disco por modelos pesados.</t>
  </si>
  <si>
    <t>Vulnerabilidades en librerías de terceros (Gradío Custom).</t>
  </si>
  <si>
    <t>Conflicto de parámetros (ej. Temperature=0 con Top_P).</t>
  </si>
  <si>
    <t>Entendimiento de uso</t>
  </si>
  <si>
    <t xml:space="preserve"> Aceptable</t>
  </si>
  <si>
    <t xml:space="preserve"> Tolerable</t>
  </si>
  <si>
    <t xml:space="preserve"> Alto</t>
  </si>
  <si>
    <t xml:space="preserve"> Extremo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</si>
</sst>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  <xf numFmtId="0" fontId="0" fillId="3" borderId="1" xfId="0" applyFill="1" applyBorder="1"/>
    <xf numFmtId="0" fontId="0" fillId="5" borderId="1" xfId="0" applyFill="1" applyBorder="1"/>
    <xf numFmtId="0" fontId="0" fillId="0" borderId="2" xfId="0" applyBorder="1"/>
    <xf numFmtId="0" fontId="0" fillId="0" borderId="8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7" xfId="0" applyBorder="1"/>
    <xf numFmtId="0" fontId="2" fillId="6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7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 textRotation="90"/>
    </xf>
    <xf numFmtId="0" fontId="0" fillId="8" borderId="1" xfId="0" applyFill="1" applyBorder="1" applyAlignment="1">
      <alignment horizontal="center"/>
    </xf>
    <xf numFmtId="0" fontId="5" fillId="8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B1:Q24"/>
  <sheetViews>
    <sheetView tabSelected="1" zoomScale="85" zoomScaleNormal="85" workbookViewId="0">
      <selection activeCell="D14" sqref="D14:K24"/>
    </sheetView>
  </sheetViews>
  <sheetFormatPr defaultColWidth="11.42578125" defaultRowHeight="15" x14ac:dyDescent="0.25"/>
  <cols>
    <col min="1" max="1" width="3.7109375" customWidth="1"/>
    <col min="2" max="2" width="3.7109375" bestFit="1" customWidth="1"/>
    <col min="3" max="3" width="9.140625" bestFit="1" customWidth="1"/>
    <col min="4" max="4" width="4.28515625" customWidth="1"/>
    <col min="5" max="5" width="26.85546875" customWidth="1"/>
    <col min="6" max="9" width="15.7109375" customWidth="1"/>
    <col min="11" max="11" width="16.42578125" bestFit="1" customWidth="1"/>
    <col min="12" max="12" width="5.7109375" bestFit="1" customWidth="1"/>
    <col min="13" max="13" width="3.42578125" bestFit="1" customWidth="1"/>
    <col min="14" max="14" width="2" bestFit="1" customWidth="1"/>
    <col min="15" max="15" width="3.42578125" bestFit="1" customWidth="1"/>
    <col min="16" max="16" width="7.140625" bestFit="1" customWidth="1"/>
  </cols>
  <sheetData>
    <row r="1" spans="2:17" x14ac:dyDescent="0.25">
      <c r="B1" s="23"/>
      <c r="C1" s="23"/>
      <c r="D1" s="23"/>
      <c r="E1" s="23"/>
      <c r="F1" s="23"/>
      <c r="G1" s="23"/>
      <c r="H1" s="23"/>
      <c r="I1" s="23"/>
    </row>
    <row r="2" spans="2:17" ht="21" x14ac:dyDescent="0.35">
      <c r="E2" s="22" t="s">
        <v>24</v>
      </c>
      <c r="F2" s="22"/>
      <c r="G2" s="22"/>
      <c r="H2" s="22"/>
      <c r="I2" s="22"/>
    </row>
    <row r="3" spans="2:17" x14ac:dyDescent="0.25">
      <c r="E3" s="24" t="s">
        <v>2</v>
      </c>
      <c r="F3" s="25"/>
      <c r="G3" s="25"/>
      <c r="H3" s="25"/>
      <c r="I3" s="26"/>
    </row>
    <row r="4" spans="2:17" x14ac:dyDescent="0.25">
      <c r="E4" s="19" t="s">
        <v>3</v>
      </c>
      <c r="F4" s="19" t="s">
        <v>0</v>
      </c>
      <c r="G4" s="19" t="s">
        <v>4</v>
      </c>
      <c r="H4" s="19" t="s">
        <v>1</v>
      </c>
      <c r="I4" s="19" t="s">
        <v>5</v>
      </c>
    </row>
    <row r="5" spans="2:17" x14ac:dyDescent="0.25">
      <c r="B5" s="16"/>
      <c r="C5" s="16"/>
      <c r="D5" s="16"/>
      <c r="E5" s="19">
        <v>1</v>
      </c>
      <c r="F5" s="19">
        <v>2</v>
      </c>
      <c r="G5" s="19">
        <v>3</v>
      </c>
      <c r="H5" s="19">
        <v>4</v>
      </c>
      <c r="I5" s="19">
        <v>5</v>
      </c>
      <c r="K5" s="21" t="s">
        <v>21</v>
      </c>
      <c r="L5" s="27" t="s">
        <v>22</v>
      </c>
      <c r="M5" s="27"/>
      <c r="N5" s="27"/>
      <c r="O5" s="27"/>
      <c r="P5" s="27"/>
      <c r="Q5" s="21" t="s">
        <v>23</v>
      </c>
    </row>
    <row r="6" spans="2:17" x14ac:dyDescent="0.25">
      <c r="B6" s="28" t="s">
        <v>11</v>
      </c>
      <c r="C6" s="18" t="s">
        <v>6</v>
      </c>
      <c r="D6" s="18">
        <v>5</v>
      </c>
      <c r="E6" s="2">
        <f>+E$5*$D6</f>
        <v>5</v>
      </c>
      <c r="F6" s="2">
        <f t="shared" ref="F6:I10" si="0">+F$5*$D6</f>
        <v>10</v>
      </c>
      <c r="G6" s="3">
        <f t="shared" si="0"/>
        <v>15</v>
      </c>
      <c r="H6" s="4">
        <f t="shared" si="0"/>
        <v>20</v>
      </c>
      <c r="I6" s="4">
        <f t="shared" si="0"/>
        <v>25</v>
      </c>
      <c r="K6" s="1" t="s">
        <v>46</v>
      </c>
      <c r="L6" s="10" t="s">
        <v>18</v>
      </c>
      <c r="M6" s="11">
        <v>1</v>
      </c>
      <c r="N6" s="11" t="s">
        <v>19</v>
      </c>
      <c r="O6" s="11">
        <v>4</v>
      </c>
      <c r="P6" s="12" t="s">
        <v>20</v>
      </c>
      <c r="Q6" s="8"/>
    </row>
    <row r="7" spans="2:17" x14ac:dyDescent="0.25">
      <c r="B7" s="28"/>
      <c r="C7" s="18" t="s">
        <v>7</v>
      </c>
      <c r="D7" s="18">
        <v>4</v>
      </c>
      <c r="E7" s="5">
        <f t="shared" ref="E7:E10" si="1">+E$5*$D7</f>
        <v>4</v>
      </c>
      <c r="F7" s="2">
        <f t="shared" si="0"/>
        <v>8</v>
      </c>
      <c r="G7" s="3">
        <f t="shared" si="0"/>
        <v>12</v>
      </c>
      <c r="H7" s="3">
        <f t="shared" si="0"/>
        <v>16</v>
      </c>
      <c r="I7" s="4">
        <f t="shared" si="0"/>
        <v>20</v>
      </c>
      <c r="K7" s="1" t="s">
        <v>47</v>
      </c>
      <c r="L7" s="13" t="s">
        <v>18</v>
      </c>
      <c r="M7">
        <v>5</v>
      </c>
      <c r="N7" t="s">
        <v>19</v>
      </c>
      <c r="O7">
        <v>10</v>
      </c>
      <c r="P7" s="14" t="s">
        <v>20</v>
      </c>
      <c r="Q7" s="2"/>
    </row>
    <row r="8" spans="2:17" x14ac:dyDescent="0.25">
      <c r="B8" s="28"/>
      <c r="C8" s="18" t="s">
        <v>10</v>
      </c>
      <c r="D8" s="18">
        <v>3</v>
      </c>
      <c r="E8" s="5">
        <f t="shared" si="1"/>
        <v>3</v>
      </c>
      <c r="F8" s="2">
        <f t="shared" si="0"/>
        <v>6</v>
      </c>
      <c r="G8" s="2">
        <f t="shared" si="0"/>
        <v>9</v>
      </c>
      <c r="H8" s="3">
        <f t="shared" si="0"/>
        <v>12</v>
      </c>
      <c r="I8" s="3">
        <f t="shared" si="0"/>
        <v>15</v>
      </c>
      <c r="K8" s="1" t="s">
        <v>48</v>
      </c>
      <c r="L8" s="13" t="s">
        <v>18</v>
      </c>
      <c r="M8">
        <v>11</v>
      </c>
      <c r="N8" t="s">
        <v>19</v>
      </c>
      <c r="O8">
        <v>16</v>
      </c>
      <c r="P8" s="14" t="s">
        <v>20</v>
      </c>
      <c r="Q8" s="3"/>
    </row>
    <row r="9" spans="2:17" x14ac:dyDescent="0.25">
      <c r="B9" s="28"/>
      <c r="C9" s="18" t="s">
        <v>8</v>
      </c>
      <c r="D9" s="18">
        <v>2</v>
      </c>
      <c r="E9" s="5">
        <f t="shared" si="1"/>
        <v>2</v>
      </c>
      <c r="F9" s="5">
        <f t="shared" si="0"/>
        <v>4</v>
      </c>
      <c r="G9" s="2">
        <f t="shared" si="0"/>
        <v>6</v>
      </c>
      <c r="H9" s="2">
        <f t="shared" si="0"/>
        <v>8</v>
      </c>
      <c r="I9" s="3">
        <f t="shared" si="0"/>
        <v>10</v>
      </c>
      <c r="K9" s="1" t="s">
        <v>49</v>
      </c>
      <c r="L9" s="15" t="s">
        <v>18</v>
      </c>
      <c r="M9" s="16">
        <v>17</v>
      </c>
      <c r="N9" s="16" t="s">
        <v>19</v>
      </c>
      <c r="O9" s="16">
        <v>25</v>
      </c>
      <c r="P9" s="17" t="s">
        <v>20</v>
      </c>
      <c r="Q9" s="9"/>
    </row>
    <row r="10" spans="2:17" x14ac:dyDescent="0.25">
      <c r="B10" s="28"/>
      <c r="C10" s="18" t="s">
        <v>9</v>
      </c>
      <c r="D10" s="18">
        <v>1</v>
      </c>
      <c r="E10" s="5">
        <f t="shared" si="1"/>
        <v>1</v>
      </c>
      <c r="F10" s="5">
        <f t="shared" si="0"/>
        <v>2</v>
      </c>
      <c r="G10" s="5">
        <f t="shared" si="0"/>
        <v>3</v>
      </c>
      <c r="H10" s="2">
        <f t="shared" si="0"/>
        <v>4</v>
      </c>
      <c r="I10" s="2">
        <f t="shared" si="0"/>
        <v>5</v>
      </c>
    </row>
    <row r="14" spans="2:17" ht="30" customHeight="1" x14ac:dyDescent="0.25">
      <c r="D14" s="19" t="s">
        <v>25</v>
      </c>
      <c r="E14" s="20" t="s">
        <v>16</v>
      </c>
      <c r="F14" s="20" t="s">
        <v>11</v>
      </c>
      <c r="G14" s="20" t="s">
        <v>12</v>
      </c>
      <c r="H14" s="20" t="s">
        <v>13</v>
      </c>
      <c r="I14" s="20" t="s">
        <v>14</v>
      </c>
      <c r="J14" s="20" t="s">
        <v>17</v>
      </c>
      <c r="K14" s="20" t="s">
        <v>15</v>
      </c>
      <c r="L14" s="7"/>
    </row>
    <row r="15" spans="2:17" ht="26.25" x14ac:dyDescent="0.25">
      <c r="D15" s="30" t="s">
        <v>26</v>
      </c>
      <c r="E15" s="30" t="s">
        <v>36</v>
      </c>
      <c r="F15" s="29" t="s">
        <v>10</v>
      </c>
      <c r="G15" s="29">
        <f>VLOOKUP(F15,$C$6:$D$10,2,FALSE)</f>
        <v>3</v>
      </c>
      <c r="H15" s="29" t="s">
        <v>4</v>
      </c>
      <c r="I15" s="29">
        <f>HLOOKUP(H15,$E$4:$I$5,2,FALSE)</f>
        <v>3</v>
      </c>
      <c r="J15" s="29">
        <f>+G15*I15</f>
        <v>9</v>
      </c>
      <c r="K15" s="6" t="str">
        <f>IF(J15&gt;=17,$K$9,IF(J15&gt;=11,$K$8,IF(J15&gt;=5,$K$7,IF(J15&gt;=1,$K$6,0))))</f>
        <v xml:space="preserve"> Tolerable</v>
      </c>
    </row>
    <row r="16" spans="2:17" ht="26.25" x14ac:dyDescent="0.25">
      <c r="D16" s="30" t="s">
        <v>27</v>
      </c>
      <c r="E16" s="30" t="s">
        <v>37</v>
      </c>
      <c r="F16" s="29" t="s">
        <v>8</v>
      </c>
      <c r="G16" s="29">
        <f t="shared" ref="G16:G24" si="2">VLOOKUP(F16,$C$6:$D$10,2,FALSE)</f>
        <v>2</v>
      </c>
      <c r="H16" s="29" t="s">
        <v>0</v>
      </c>
      <c r="I16" s="29">
        <f t="shared" ref="I16:I24" si="3">HLOOKUP(H16,$E$4:$I$5,2,FALSE)</f>
        <v>2</v>
      </c>
      <c r="J16" s="29">
        <f t="shared" ref="J16:J24" si="4">+G16*I16</f>
        <v>4</v>
      </c>
      <c r="K16" s="6" t="str">
        <f t="shared" ref="K16:K24" si="5">IF(J16&gt;=17,$K$9,IF(J16&gt;=11,$K$8,IF(J16&gt;=5,$K$7,IF(J16&gt;=1,$K$6,0))))</f>
        <v xml:space="preserve"> Aceptable</v>
      </c>
    </row>
    <row r="17" spans="4:11" ht="26.25" x14ac:dyDescent="0.25">
      <c r="D17" s="30" t="s">
        <v>28</v>
      </c>
      <c r="E17" s="30" t="s">
        <v>38</v>
      </c>
      <c r="F17" s="29" t="s">
        <v>8</v>
      </c>
      <c r="G17" s="29">
        <f t="shared" si="2"/>
        <v>2</v>
      </c>
      <c r="H17" s="29" t="s">
        <v>3</v>
      </c>
      <c r="I17" s="29">
        <f t="shared" si="3"/>
        <v>1</v>
      </c>
      <c r="J17" s="29">
        <f t="shared" si="4"/>
        <v>2</v>
      </c>
      <c r="K17" s="6" t="str">
        <f t="shared" si="5"/>
        <v xml:space="preserve"> Aceptable</v>
      </c>
    </row>
    <row r="18" spans="4:11" ht="39" x14ac:dyDescent="0.25">
      <c r="D18" s="30" t="s">
        <v>29</v>
      </c>
      <c r="E18" s="30" t="s">
        <v>39</v>
      </c>
      <c r="F18" s="29" t="s">
        <v>7</v>
      </c>
      <c r="G18" s="29">
        <f t="shared" si="2"/>
        <v>4</v>
      </c>
      <c r="H18" s="29" t="s">
        <v>1</v>
      </c>
      <c r="I18" s="29">
        <f t="shared" si="3"/>
        <v>4</v>
      </c>
      <c r="J18" s="29">
        <f t="shared" si="4"/>
        <v>16</v>
      </c>
      <c r="K18" s="6" t="str">
        <f t="shared" si="5"/>
        <v xml:space="preserve"> Alto</v>
      </c>
    </row>
    <row r="19" spans="4:11" ht="26.25" x14ac:dyDescent="0.25">
      <c r="D19" s="30" t="s">
        <v>30</v>
      </c>
      <c r="E19" s="30" t="s">
        <v>40</v>
      </c>
      <c r="F19" s="29" t="s">
        <v>10</v>
      </c>
      <c r="G19" s="29">
        <f t="shared" si="2"/>
        <v>3</v>
      </c>
      <c r="H19" s="29" t="s">
        <v>1</v>
      </c>
      <c r="I19" s="29">
        <f t="shared" si="3"/>
        <v>4</v>
      </c>
      <c r="J19" s="29">
        <f t="shared" si="4"/>
        <v>12</v>
      </c>
      <c r="K19" s="6" t="str">
        <f t="shared" si="5"/>
        <v xml:space="preserve"> Alto</v>
      </c>
    </row>
    <row r="20" spans="4:11" ht="26.25" x14ac:dyDescent="0.25">
      <c r="D20" s="30" t="s">
        <v>31</v>
      </c>
      <c r="E20" s="30" t="s">
        <v>41</v>
      </c>
      <c r="F20" s="29" t="s">
        <v>8</v>
      </c>
      <c r="G20" s="29">
        <f t="shared" si="2"/>
        <v>2</v>
      </c>
      <c r="H20" s="29" t="s">
        <v>0</v>
      </c>
      <c r="I20" s="29">
        <f t="shared" si="3"/>
        <v>2</v>
      </c>
      <c r="J20" s="29">
        <f t="shared" si="4"/>
        <v>4</v>
      </c>
      <c r="K20" s="6" t="str">
        <f t="shared" si="5"/>
        <v xml:space="preserve"> Aceptable</v>
      </c>
    </row>
    <row r="21" spans="4:11" ht="26.25" x14ac:dyDescent="0.25">
      <c r="D21" s="30" t="s">
        <v>32</v>
      </c>
      <c r="E21" s="30" t="s">
        <v>42</v>
      </c>
      <c r="F21" s="29" t="s">
        <v>10</v>
      </c>
      <c r="G21" s="29">
        <f t="shared" si="2"/>
        <v>3</v>
      </c>
      <c r="H21" s="29" t="s">
        <v>1</v>
      </c>
      <c r="I21" s="29">
        <f t="shared" si="3"/>
        <v>4</v>
      </c>
      <c r="J21" s="29">
        <f t="shared" si="4"/>
        <v>12</v>
      </c>
      <c r="K21" s="6" t="str">
        <f t="shared" si="5"/>
        <v xml:space="preserve"> Alto</v>
      </c>
    </row>
    <row r="22" spans="4:11" ht="26.25" x14ac:dyDescent="0.25">
      <c r="D22" s="30" t="s">
        <v>33</v>
      </c>
      <c r="E22" s="30" t="s">
        <v>43</v>
      </c>
      <c r="F22" s="29" t="s">
        <v>10</v>
      </c>
      <c r="G22" s="29">
        <f t="shared" si="2"/>
        <v>3</v>
      </c>
      <c r="H22" s="29" t="s">
        <v>0</v>
      </c>
      <c r="I22" s="29">
        <f t="shared" si="3"/>
        <v>2</v>
      </c>
      <c r="J22" s="29">
        <f t="shared" si="4"/>
        <v>6</v>
      </c>
      <c r="K22" s="6" t="str">
        <f t="shared" si="5"/>
        <v xml:space="preserve"> Tolerable</v>
      </c>
    </row>
    <row r="23" spans="4:11" ht="26.25" x14ac:dyDescent="0.25">
      <c r="D23" s="30" t="s">
        <v>34</v>
      </c>
      <c r="E23" s="30" t="s">
        <v>44</v>
      </c>
      <c r="F23" s="29" t="s">
        <v>8</v>
      </c>
      <c r="G23" s="29">
        <f t="shared" si="2"/>
        <v>2</v>
      </c>
      <c r="H23" s="29" t="s">
        <v>3</v>
      </c>
      <c r="I23" s="29">
        <f t="shared" si="3"/>
        <v>1</v>
      </c>
      <c r="J23" s="29">
        <f t="shared" si="4"/>
        <v>2</v>
      </c>
      <c r="K23" s="6" t="str">
        <f t="shared" si="5"/>
        <v xml:space="preserve"> Aceptable</v>
      </c>
    </row>
    <row r="24" spans="4:11" x14ac:dyDescent="0.25">
      <c r="D24" s="30" t="s">
        <v>35</v>
      </c>
      <c r="E24" s="30" t="s">
        <v>45</v>
      </c>
      <c r="F24" s="29" t="s">
        <v>8</v>
      </c>
      <c r="G24" s="29">
        <f t="shared" si="2"/>
        <v>2</v>
      </c>
      <c r="H24" s="29" t="s">
        <v>0</v>
      </c>
      <c r="I24" s="29">
        <f t="shared" si="3"/>
        <v>2</v>
      </c>
      <c r="J24" s="29">
        <f t="shared" si="4"/>
        <v>4</v>
      </c>
      <c r="K24" s="6" t="str">
        <f t="shared" si="5"/>
        <v xml:space="preserve"> Aceptable</v>
      </c>
    </row>
  </sheetData>
  <mergeCells count="5">
    <mergeCell ref="L5:P5"/>
    <mergeCell ref="E3:I3"/>
    <mergeCell ref="B6:B10"/>
    <mergeCell ref="B1:I1"/>
    <mergeCell ref="E2:I2"/>
  </mergeCells>
  <dataValidations count="2">
    <dataValidation type="list" allowBlank="1" showInputMessage="1" showErrorMessage="1" sqref="F15:F24" xr:uid="{00000000-0002-0000-0200-000000000000}">
      <formula1>$C$6:$C$10</formula1>
    </dataValidation>
    <dataValidation type="list" allowBlank="1" showInputMessage="1" showErrorMessage="1" sqref="H15:H24" xr:uid="{00000000-0002-0000-0200-000001000000}">
      <formula1>$E$4:$I$4</formula1>
    </dataValidation>
  </dataValidations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3BCC636-6919-48CC-995D-FF5BB151C230}">
            <xm:f>NOT(ISERROR(SEARCH($K$9,K15)))</xm:f>
            <xm:f>$K$9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2" operator="containsText" id="{B7F5F0E4-392A-4CFF-B954-F1EE965CF117}">
            <xm:f>NOT(ISERROR(SEARCH($K$8,K15)))</xm:f>
            <xm:f>$K$8</xm:f>
            <x14:dxf>
              <font>
                <b/>
                <i val="0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" operator="containsText" id="{6447E3DA-9383-4204-B897-6126ED60AC21}">
            <xm:f>NOT(ISERROR(SEARCH($K$7,K15)))</xm:f>
            <xm:f>$K$7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4" operator="containsText" id="{8FE6C41D-582D-4E2A-BA30-4E81D69D2364}">
            <xm:f>NOT(ISERROR(SEARCH($K$6,K15)))</xm:f>
            <xm:f>$K$6</xm:f>
            <x14:dxf>
              <font>
                <b/>
                <i val="0"/>
                <color theme="0"/>
              </font>
              <fill>
                <patternFill>
                  <bgColor rgb="FF00B050"/>
                </patternFill>
              </fill>
            </x14:dxf>
          </x14:cfRule>
          <xm:sqref>K15:K24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Brayan Polo</cp:lastModifiedBy>
  <dcterms:created xsi:type="dcterms:W3CDTF">2025-09-01T23:45:44Z</dcterms:created>
  <dcterms:modified xsi:type="dcterms:W3CDTF">2026-04-22T05:32:12Z</dcterms:modified>
</cp:coreProperties>
</file>